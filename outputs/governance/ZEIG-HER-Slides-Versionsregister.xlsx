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78c01e68f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f20b347d370b435f"/>
    <x:sheet xmlns:r="http://schemas.openxmlformats.org/officeDocument/2006/relationships" name="Versionen" sheetId="2" r:id="Ra979486af61049b7"/>
    <x:sheet xmlns:r="http://schemas.openxmlformats.org/officeDocument/2006/relationships" name="Qualitätsgates" sheetId="3" r:id="Rbff1c3c765bb41f2"/>
    <x:sheet xmlns:r="http://schemas.openxmlformats.org/officeDocument/2006/relationships" name="Sichtabnahme" sheetId="4" r:id="R56c0d04e4d43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23C4A"/>
      <x:name val="Carlito"/>
    </x:font>
    <x:font>
      <x:b/>
      <x:sz val="14"/>
      <x:color rgb="FF123C4A"/>
      <x:name val="Carlito"/>
    </x:font>
    <x:font>
      <x:sz val="11"/>
      <x:color rgb="FF123C4A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23C4A"/>
      <x:name val="Aptos"/>
    </x:font>
    <x:font>
      <x:sz val="11"/>
      <x:color rgb="FF123C4A"/>
      <x:name val="Aptos"/>
    </x:font>
    <x:font>
      <x:b/>
      <x:sz val="18"/>
      <x:color rgb="FFFFFFFF"/>
      <x:name val="Carlito"/>
    </x:font>
    <x:font>
      <x:sz val="10"/>
      <x:color rgb="FF123C4A"/>
      <x:name val="Aptos"/>
    </x:font>
    <x:font>
      <x:b/>
      <x:sz val="10"/>
      <x:color rgb="FF123C4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4FB3AA"/>
      </x:patternFill>
    </x:fill>
    <x:fill>
      <x:patternFill patternType="solid">
        <x:fgColor rgb="FFE2F1F1"/>
      </x:patternFill>
    </x:fill>
    <x:fill>
      <x:patternFill patternType="solid">
        <x:fgColor rgb="FFFFFFFF"/>
      </x:patternFill>
    </x:fill>
    <x:fill>
      <x:patternFill patternType="solid">
        <x:fgColor rgb="FFF25D68"/>
      </x:patternFill>
    </x:fill>
    <x:fill>
      <x:patternFill patternType="solid">
        <x:fgColor rgb="FFF7FCFB"/>
      </x:patternFill>
    </x:fill>
  </x:fills>
  <x:borders count="20">
    <x:border/>
    <x:border>
      <x:right style="thin">
        <x:color rgb="FFC9DEDC"/>
      </x:right>
      <x:bottom style="thin">
        <x:color rgb="FFC9DEDC"/>
      </x:bottom>
    </x:border>
    <x:border>
      <x:left style="thin">
        <x:color rgb="FFC9DEDC"/>
      </x:left>
      <x:bottom style="thin">
        <x:color rgb="FFC9DEDC"/>
      </x:bottom>
    </x:border>
    <x:border>
      <x:right style="thin">
        <x:color rgb="FFC9DEDC"/>
      </x:right>
      <x:top style="thin">
        <x:color rgb="FFC9DEDC"/>
      </x:top>
      <x:bottom style="thin">
        <x:color rgb="FFC9DEDC"/>
      </x:bottom>
    </x:border>
    <x:border>
      <x:left style="thin">
        <x:color rgb="FFC9DEDC"/>
      </x:left>
      <x:top style="thin">
        <x:color rgb="FFC9DEDC"/>
      </x:top>
      <x:bottom style="thin">
        <x:color rgb="FFC9DEDC"/>
      </x:bottom>
    </x:border>
    <x:border>
      <x:right style="thin">
        <x:color rgb="FFC9DEDC"/>
      </x:right>
      <x:top style="thin">
        <x:color rgb="FFC9DEDC"/>
      </x:top>
    </x:border>
    <x:border>
      <x:left style="thin">
        <x:color rgb="FFC9DEDC"/>
      </x:left>
      <x:top style="thin">
        <x:color rgb="FFC9DEDC"/>
      </x:top>
    </x:border>
    <x:border>
      <x:bottom style="thin">
        <x:color rgb="FFD8E8E6"/>
      </x:bottom>
    </x:border>
    <x:border>
      <x:top style="thin">
        <x:color rgb="FFD8E8E6"/>
      </x:top>
      <x:bottom style="thin">
        <x:color rgb="FFD8E8E6"/>
      </x:bottom>
    </x:border>
    <x:border>
      <x:top style="thin">
        <x:color rgb="FFD8E8E6"/>
      </x:top>
      <x:bottom style="thin">
        <x:color rgb="FFA8C8C5"/>
      </x:bottom>
    </x:border>
    <x:border>
      <x:right style="thin">
        <x:color rgb="FFD8E8E6"/>
      </x:right>
      <x:bottom style="thin">
        <x:color rgb="FFD8E8E6"/>
      </x:bottom>
    </x:border>
    <x:border>
      <x:left style="thin">
        <x:color rgb="FFD8E8E6"/>
      </x:left>
      <x:right style="thin">
        <x:color rgb="FFD8E8E6"/>
      </x:right>
      <x:bottom style="thin">
        <x:color rgb="FFD8E8E6"/>
      </x:bottom>
    </x:border>
    <x:border>
      <x:left style="thin">
        <x:color rgb="FFD8E8E6"/>
      </x:left>
      <x:bottom style="thin">
        <x:color rgb="FFD8E8E6"/>
      </x:bottom>
    </x:border>
    <x:border>
      <x:right style="thin">
        <x:color rgb="FFD8E8E6"/>
      </x:right>
      <x:top style="thin">
        <x:color rgb="FFD8E8E6"/>
      </x:top>
      <x:bottom style="thin">
        <x:color rgb="FFD8E8E6"/>
      </x:bottom>
    </x:border>
    <x:border>
      <x:left style="thin">
        <x:color rgb="FFD8E8E6"/>
      </x:left>
      <x:right style="thin">
        <x:color rgb="FFD8E8E6"/>
      </x:right>
      <x:top style="thin">
        <x:color rgb="FFD8E8E6"/>
      </x:top>
      <x:bottom style="thin">
        <x:color rgb="FFD8E8E6"/>
      </x:bottom>
    </x:border>
    <x:border>
      <x:left style="thin">
        <x:color rgb="FFD8E8E6"/>
      </x:left>
      <x:top style="thin">
        <x:color rgb="FFD8E8E6"/>
      </x:top>
      <x:bottom style="thin">
        <x:color rgb="FFD8E8E6"/>
      </x:bottom>
    </x:border>
    <x:border>
      <x:right style="thin">
        <x:color rgb="FFD8E8E6"/>
      </x:right>
      <x:top style="thin">
        <x:color rgb="FFD8E8E6"/>
      </x:top>
    </x:border>
    <x:border>
      <x:left style="thin">
        <x:color rgb="FFD8E8E6"/>
      </x:left>
      <x:right style="thin">
        <x:color rgb="FFD8E8E6"/>
      </x:right>
      <x:top style="thin">
        <x:color rgb="FFD8E8E6"/>
      </x:top>
    </x:border>
    <x:border>
      <x:left style="thin">
        <x:color rgb="FFD8E8E6"/>
      </x:left>
      <x:top style="thin">
        <x:color rgb="FFD8E8E6"/>
      </x:top>
    </x:border>
    <x:border>
      <x:top style="thin">
        <x:color rgb="FFD8E8E6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0" fillId="5" borderId="4" xfId="0" applyNumberFormat="1" applyFont="1" applyFill="1" applyBorder="1"/>
    <x:xf numFmtId="200" fontId="0" fillId="5" borderId="6" xfId="0" applyNumberFormat="1" applyFont="1" applyFill="1" applyBorder="1"/>
    <x:xf numFmtId="0" fontId="3" fillId="5" borderId="4" xfId="0" applyNumberFormat="1" applyFont="1" applyFill="1" applyBorder="1"/>
    <x:xf numFmtId="200" fontId="3" fillId="5" borderId="6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6" borderId="0" xfId="0" applyNumberFormat="1" applyFont="1" applyFill="1" applyBorder="1"/>
    <x:xf numFmtId="0" fontId="8" fillId="4" borderId="3" xfId="0" applyNumberFormat="1" applyFont="1" applyFill="1" applyBorder="1"/>
    <x:xf numFmtId="0" fontId="8" fillId="5" borderId="4" xfId="0" applyNumberFormat="1" applyFont="1" applyFill="1" applyBorder="1"/>
    <x:xf numFmtId="0" fontId="8" fillId="4" borderId="0" xfId="0" applyNumberFormat="1" applyFont="1" applyFill="1" applyBorder="1"/>
    <x:xf numFmtId="0" fontId="9" fillId="7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/>
    <x:xf numFmtId="200" fontId="8" fillId="5" borderId="6" xfId="0" applyNumberFormat="1" applyFont="1" applyFill="1" applyBorder="1"/>
    <x:xf numFmtId="0" fontId="6" fillId="3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20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vertical="top"/>
    </x:xf>
    <x:xf numFmtId="200" fontId="11" fillId="0" borderId="8" xfId="0" applyNumberFormat="1" applyFont="1" applyFill="1" applyBorder="1" applyAlignment="1">
      <x:alignment vertical="top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/>
    </x:xf>
    <x:xf numFmtId="200" fontId="11" fillId="0" borderId="9" xfId="0" applyNumberFormat="1" applyFont="1" applyFill="1" applyBorder="1" applyAlignment="1">
      <x:alignment vertical="top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12" fillId="4" borderId="13" xfId="0" applyNumberFormat="1" applyFont="1" applyFill="1" applyBorder="1" applyAlignment="1">
      <x:alignment horizontal="center"/>
    </x:xf>
    <x:xf numFmtId="0" fontId="11" fillId="0" borderId="14" xfId="0" applyNumberFormat="1" applyFont="1" applyFill="1" applyBorder="1" applyAlignment="1">
      <x:alignment horizontal="center"/>
    </x:xf>
    <x:xf numFmtId="0" fontId="11" fillId="0" borderId="15" xfId="0" applyNumberFormat="1" applyFont="1" applyFill="1" applyBorder="1" applyAlignment="1">
      <x:alignment horizontal="center"/>
    </x:xf>
    <x:xf numFmtId="0" fontId="12" fillId="4" borderId="16" xfId="0" applyNumberFormat="1" applyFont="1" applyFill="1" applyBorder="1" applyAlignment="1">
      <x:alignment horizontal="center"/>
    </x:xf>
    <x:xf numFmtId="0" fontId="11" fillId="0" borderId="17" xfId="0" applyNumberFormat="1" applyFont="1" applyFill="1" applyBorder="1" applyAlignment="1">
      <x:alignment horizontal="center"/>
    </x:xf>
    <x:xf numFmtId="0" fontId="11" fillId="0" borderId="18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A22C38"/>
      </x:font>
      <x:fill>
        <x:patternFill patternType="solid">
          <x:bgColor rgb="FFFDE3E5"/>
        </x:patternFill>
      </x:fill>
    </x:dxf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8A5A00"/>
      </x:font>
      <x:fill>
        <x:patternFill patternType="solid">
          <x:bgColor rgb="FFFFF1D6"/>
        </x:patternFill>
      </x:fill>
    </x:dxf>
    <x:dxf>
      <x:font>
        <x:color rgb="FFA22C38"/>
      </x:font>
      <x:fill>
        <x:patternFill patternType="solid">
          <x:bgColor rgb="FFFDE3E5"/>
        </x:patternFill>
      </x:fill>
    </x:dxf>
    <x:dxf>
      <x:font>
        <x:color rgb="FF55747D"/>
      </x:font>
      <x:fill>
        <x:patternFill patternType="solid">
          <x:bgColor rgb="FFEEF4F4"/>
        </x:patternFill>
      </x:fill>
    </x:dxf>
    <x:dxf>
      <x:font>
        <x:b/>
        <x:color rgb="FF176B45"/>
      </x:font>
      <x:fill>
        <x:patternFill patternType="solid">
          <x:bgColor rgb="FFDDF3E8"/>
        </x:patternFill>
      </x:fill>
    </x:dxf>
    <x:dxf>
      <x:font>
        <x:b/>
        <x:color rgb="FFA22C38"/>
      </x:font>
      <x:fill>
        <x:patternFill patternType="solid">
          <x:bgColor rgb="FFFDE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216b45a4043b0" /><Relationship Type="http://schemas.openxmlformats.org/officeDocument/2006/relationships/theme" Target="/xl/theme/theme1.xml" Id="R2df993599af44aa3" /><Relationship Type="http://schemas.openxmlformats.org/officeDocument/2006/relationships/sharedStrings" Target="/xl/sharedStrings.xml" Id="Rb2f0a8a0efc74ee0" /><Relationship Type="http://schemas.openxmlformats.org/officeDocument/2006/relationships/worksheet" Target="/xl/worksheets/sheet1.xml" Id="Rf20b347d370b435f" /><Relationship Type="http://schemas.openxmlformats.org/officeDocument/2006/relationships/worksheet" Target="/xl/worksheets/sheet2.xml" Id="Ra979486af61049b7" /><Relationship Type="http://schemas.openxmlformats.org/officeDocument/2006/relationships/worksheet" Target="/xl/worksheets/sheet3.xml" Id="Rbff1c3c765bb41f2" /><Relationship Type="http://schemas.openxmlformats.org/officeDocument/2006/relationships/worksheet" Target="/xl/worksheets/sheet4.xml" Id="R56c0d04e4d43434f" /></Relationships>
</file>

<file path=xl/tables/table1.xml><?xml version="1.0" encoding="utf-8"?>
<x:table xmlns:x="http://schemas.openxmlformats.org/spreadsheetml/2006/main" id="1" name="VersionenTabelle" displayName="VersionenTabelle" ref="A4:K30" headerRowCount="1" totalsRowCount="0" totalsRowShown="0">
  <x:tableColumns count="11">
    <x:tableColumn id="1" name="Version"/>
    <x:tableColumn id="2" name="Datum"/>
    <x:tableColumn id="3" name="Titel"/>
    <x:tableColumn id="4" name="Block"/>
    <x:tableColumn id="5" name="Automatik"/>
    <x:tableColumn id="6" name="Manuell"/>
    <x:tableColumn id="7" name="Commit"/>
    <x:tableColumn id="8" name="Git-Tag"/>
    <x:tableColumn id="9" name="SHA-256"/>
    <x:tableColumn id="10" name="Schwerpunkt"/>
    <x:tableColumn id="11" name="Grenze / 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585a8661f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3" t="str">
        <x:v>ZEIG HER Slides · Versionsregister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5" t="str">
        <x:v>Kennzahl</x:v>
      </x:c>
      <x:c r="B4" s="36" t="str">
        <x:v>Stand</x:v>
      </x:c>
      <x:c r="C4" s="34"/>
      <x:c r="D4" s="37" t="str">
        <x:v>Verbleibender kontrollierter Schritt</x:v>
      </x:c>
      <x:c r="E4" s="37"/>
      <x:c r="F4" s="37"/>
      <x:c r="G4" s="37"/>
      <x:c r="H4" s="37"/>
    </x:row>
    <x:row r="5">
      <x:c r="A5" s="38" t="str">
        <x:v>Aktuelle Produktversion</x:v>
      </x:c>
      <x:c r="B5" s="39" t="str">
        <x:f>'Versionen'!A30</x:f>
        <x:v>V0.042</x:v>
      </x:c>
      <x:c r="C5" s="34"/>
      <x:c r="D5" s="40" t="str">
        <x:v>Gebündelte Sichtabnahme durch Johannes</x:v>
      </x:c>
      <x:c r="E5" s="40"/>
      <x:c r="F5" s="40"/>
      <x:c r="G5" s="40"/>
      <x:c r="H5" s="40"/>
    </x:row>
    <x:row r="6" ht="24" customHeight="1">
      <x:c r="A6" s="38" t="str">
        <x:v>Technisch bestandene Versionen</x:v>
      </x:c>
      <x:c r="B6" s="39" t="n">
        <x:f>COUNTIF('Versionen'!$E$5:$E$30,"Bestanden")</x:f>
        <x:v>26</x:v>
      </x:c>
      <x:c r="C6" s="34"/>
      <x:c r="D6" s="41" t="str">
        <x:v>V0.042 ist technisch bestanden. Der Prüflauf deckt zusätzlich das kollisionsfreie HUD, den wiederholten Kamera-Fit nach Bild- und Layoutänderungen, sichtbare Kapitelmarken sowie den direkten Stationsfokus aus der Ansichtsübersicht ab. Offen bleibt nur die gebündelte Sichtentscheidung durch Johannes.</x:v>
      </x:c>
      <x:c r="E6" s="41"/>
      <x:c r="F6" s="41"/>
      <x:c r="G6" s="41"/>
      <x:c r="H6" s="41"/>
    </x:row>
    <x:row r="7" ht="24" customHeight="1">
      <x:c r="A7" s="38" t="str">
        <x:v>Geplante Versionen</x:v>
      </x:c>
      <x:c r="B7" s="39" t="n">
        <x:f>COUNTIF('Versionen'!$E$5:$E$30,"Geplant")</x:f>
        <x:v>0</x:v>
      </x:c>
      <x:c r="C7" s="34"/>
      <x:c r="D7" s="41"/>
      <x:c r="E7" s="41"/>
      <x:c r="F7" s="41"/>
      <x:c r="G7" s="41"/>
      <x:c r="H7" s="41"/>
    </x:row>
    <x:row r="8" ht="24" customHeight="1">
      <x:c r="A8" s="38" t="str">
        <x:v>Offene manuelle Schlussabnahme</x:v>
      </x:c>
      <x:c r="B8" s="39" t="n">
        <x:f>COUNTIF('Versionen'!$F$5:$F$30,"Gebündelt offen")</x:f>
        <x:v>26</x:v>
      </x:c>
      <x:c r="C8" s="34"/>
      <x:c r="D8" s="41"/>
      <x:c r="E8" s="41"/>
      <x:c r="F8" s="41"/>
      <x:c r="G8" s="41"/>
      <x:c r="H8" s="41"/>
    </x:row>
    <x:row r="9">
      <x:c r="A9" s="42" t="str">
        <x:v>Letzte Aktualisierung</x:v>
      </x:c>
      <x:c r="B9" s="43" t="n">
        <x:v>46253</x:v>
      </x:c>
      <x:c r="C9" s="34"/>
      <x:c r="D9" s="34"/>
      <x:c r="E9" s="34"/>
      <x:c r="F9" s="34"/>
      <x:c r="G9" s="34"/>
      <x:c r="H9" s="34"/>
    </x:row>
    <x:row r="10">
      <x:c r="A10" s="34"/>
      <x:c r="B10" s="34"/>
      <x:c r="C10" s="34"/>
      <x:c r="D10" s="44" t="str">
        <x:v>Freigaberegel</x:v>
      </x:c>
      <x:c r="E10" s="44"/>
      <x:c r="F10" s="44"/>
      <x:c r="G10" s="44"/>
      <x:c r="H10" s="44"/>
    </x:row>
    <x:row r="11" ht="20" customHeight="1">
      <x:c r="A11" s="34"/>
      <x:c r="B11" s="34"/>
      <x:c r="C11" s="34"/>
      <x:c r="D11" s="41" t="str">
        <x:v>Eine Version gilt technisch nur nach grünem zentralem Prüflauf, byteidentischen Release-Spiegeln, dokumentiertem Audit und Git-Tag. Die menschliche Sichtabnahme bleibt davon getrennt und wird wie vereinbart gebündelt am aktuellen V0.042-Stand durchgeführt.</x:v>
      </x:c>
      <x:c r="E11" s="41"/>
      <x:c r="F11" s="41"/>
      <x:c r="G11" s="41"/>
      <x:c r="H11" s="41"/>
    </x:row>
    <x:row r="12" ht="20" customHeight="1">
      <x:c r="A12" s="34"/>
      <x:c r="B12" s="34"/>
      <x:c r="C12" s="34"/>
      <x:c r="D12" s="41"/>
      <x:c r="E12" s="41"/>
      <x:c r="F12" s="41"/>
      <x:c r="G12" s="41"/>
      <x:c r="H12" s="41"/>
    </x:row>
    <x:row r="13" ht="20" customHeight="1">
      <x:c r="A13" s="34"/>
      <x:c r="B13" s="34"/>
      <x:c r="C13" s="34"/>
      <x:c r="D13" s="41"/>
      <x:c r="E13" s="41"/>
      <x:c r="F13" s="41"/>
      <x:c r="G13" s="41"/>
      <x:c r="H13" s="41"/>
    </x:row>
    <x:row r="14" ht="20" customHeight="1">
      <x:c r="A14" s="34"/>
      <x:c r="B14" s="34"/>
      <x:c r="C14" s="34"/>
      <x:c r="D14" s="41"/>
      <x:c r="E14" s="41"/>
      <x:c r="F14" s="41"/>
      <x:c r="G14" s="41"/>
      <x:c r="H14" s="41"/>
    </x:row>
  </x:sheetData>
  <x:mergeCells>
    <x:mergeCell ref="A1:H2"/>
    <x:mergeCell ref="D4:H4"/>
    <x:mergeCell ref="D5:H5"/>
    <x:mergeCell ref="D6:H8"/>
    <x:mergeCell ref="D10:H10"/>
    <x:mergeCell ref="D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24" hidden="0" customWidth="1"/>
    <x:col min="10" max="10" width="43" hidden="0" customWidth="1"/>
    <x:col min="11" max="11" width="43" hidden="0" customWidth="1"/>
  </x:cols>
  <x:sheetData>
    <x:row r="1">
      <x:c r="A1" s="46" t="str">
        <x:v>Produktversionen und technische Nachweise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</x:row>
    <x:row r="4">
      <x:c r="A4" s="53" t="str">
        <x:v>Version</x:v>
      </x:c>
      <x:c r="B4" s="53" t="str">
        <x:v>Datum</x:v>
      </x:c>
      <x:c r="C4" s="53" t="str">
        <x:v>Titel</x:v>
      </x:c>
      <x:c r="D4" s="53" t="str">
        <x:v>Block</x:v>
      </x:c>
      <x:c r="E4" s="53" t="str">
        <x:v>Automatik</x:v>
      </x:c>
      <x:c r="F4" s="53" t="str">
        <x:v>Manuell</x:v>
      </x:c>
      <x:c r="G4" s="53" t="str">
        <x:v>Commit</x:v>
      </x:c>
      <x:c r="H4" s="53" t="str">
        <x:v>Git-Tag</x:v>
      </x:c>
      <x:c r="I4" s="53" t="str">
        <x:v>SHA-256</x:v>
      </x:c>
      <x:c r="J4" s="53" t="str">
        <x:v>Schwerpunkt</x:v>
      </x:c>
      <x:c r="K4" s="53" t="str">
        <x:v>Grenze / Hinweis</x:v>
      </x:c>
    </x:row>
    <x:row r="5">
      <x:c r="A5" s="54" t="str">
        <x:v>V0.017</x:v>
      </x:c>
      <x:c r="B5" s="55" t="n">
        <x:v>46252</x:v>
      </x:c>
      <x:c r="C5" s="56" t="str">
        <x:v>Governance-Baseline</x:v>
      </x:c>
      <x:c r="D5" s="56" t="str">
        <x:v>Baseline</x:v>
      </x:c>
      <x:c r="E5" s="56" t="str">
        <x:v>Bestanden</x:v>
      </x:c>
      <x:c r="F5" s="56" t="str">
        <x:v>Gebündelt offen</x:v>
      </x:c>
      <x:c r="G5" s="56" t="str">
        <x:v>git:9859428</x:v>
      </x:c>
      <x:c r="H5" s="56" t="str">
        <x:v>V0.017</x:v>
      </x:c>
      <x:c r="I5" s="56" t="str">
        <x:v>577c374413b8bf48cda4c4d73144077a4c17d7482f21ca26e4155874c93d07b8</x:v>
      </x:c>
      <x:c r="J5" s="56" t="str">
        <x:v>Unveränderte Übernahme und Rückfallbasis</x:v>
      </x:c>
      <x:c r="K5" s="56" t="str">
        <x:v>Speicher- und Viewer-Risiken bewusst offen</x:v>
      </x:c>
    </x:row>
    <x:row r="6">
      <x:c r="A6" s="54" t="str">
        <x:v>V0.018</x:v>
      </x:c>
      <x:c r="B6" s="55" t="n">
        <x:v>46252</x:v>
      </x:c>
      <x:c r="C6" s="56" t="str">
        <x:v>Produktidentität und Werkstatt</x:v>
      </x:c>
      <x:c r="D6" s="56" t="str">
        <x:v>Governance</x:v>
      </x:c>
      <x:c r="E6" s="56" t="str">
        <x:v>Bestanden</x:v>
      </x:c>
      <x:c r="F6" s="56" t="str">
        <x:v>Gebündelt offen</x:v>
      </x:c>
      <x:c r="G6" s="56" t="str">
        <x:v>git:7f217de</x:v>
      </x:c>
      <x:c r="H6" s="56" t="str">
        <x:v>V0.018</x:v>
      </x:c>
      <x:c r="I6" s="56" t="str">
        <x:v>8882f923746afc9c5773c51767af537ef80649864b80309cb74328bb3d613710</x:v>
      </x:c>
      <x:c r="J6" s="56" t="str">
        <x:v>Produktkennung, Releasevertrag, Token-/Komponentenwerkstatt</x:v>
      </x:c>
      <x:c r="K6" s="56" t="str">
        <x:v>0 kanonische Komponenten bis gemeinsamer Quellbezug</x:v>
      </x:c>
    </x:row>
    <x:row r="7">
      <x:c r="A7" s="54" t="str">
        <x:v>V0.019</x:v>
      </x:c>
      <x:c r="B7" s="55" t="n">
        <x:v>46252</x:v>
      </x:c>
      <x:c r="C7" s="56" t="str">
        <x:v>Stabile Projektidentität</x:v>
      </x:c>
      <x:c r="D7" s="56" t="str">
        <x:v>Persistenzbasis</x:v>
      </x:c>
      <x:c r="E7" s="56" t="str">
        <x:v>Bestanden</x:v>
      </x:c>
      <x:c r="F7" s="56" t="str">
        <x:v>Gebündelt offen</x:v>
      </x:c>
      <x:c r="G7" s="56" t="str">
        <x:v>git:85380ca</x:v>
      </x:c>
      <x:c r="H7" s="56" t="str">
        <x:v>V0.019</x:v>
      </x:c>
      <x:c r="I7" s="56" t="str">
        <x:v>3fe07267418fb9c91ad836ec054f50da577c3b4f4bdf6c7e6f67a4d28ec65a11</x:v>
      </x:c>
      <x:c r="J7" s="56" t="str">
        <x:v>Projekt-ID, Zeitstempel, ID-basierte Bibliothek</x:v>
      </x:c>
      <x:c r="K7" s="56" t="str">
        <x:v>Dateibindung und Wechsel folgen in V0.020</x:v>
      </x:c>
    </x:row>
    <x:row r="8">
      <x:c r="A8" s="54" t="str">
        <x:v>V0.020</x:v>
      </x:c>
      <x:c r="B8" s="55" t="n">
        <x:v>46252</x:v>
      </x:c>
      <x:c r="C8" s="56" t="str">
        <x:v>Ehrliches Speichermodell</x:v>
      </x:c>
      <x:c r="D8" s="56" t="str">
        <x:v>Persistenz</x:v>
      </x:c>
      <x:c r="E8" s="56" t="str">
        <x:v>Bestanden</x:v>
      </x:c>
      <x:c r="F8" s="56" t="str">
        <x:v>Gebündelt offen</x:v>
      </x:c>
      <x:c r="G8" s="56" t="str">
        <x:v>git:cf6b463</x:v>
      </x:c>
      <x:c r="H8" s="56" t="str">
        <x:v>V0.020</x:v>
      </x:c>
      <x:c r="I8" s="56" t="str">
        <x:v>750a1620f633f21862cf80df8aa5426560001f2e1f098030e013ed785b13015b</x:v>
      </x:c>
      <x:c r="J8" s="56" t="str">
        <x:v>Speicherorte, Dateibindung, sichere Projektwechsel</x:v>
      </x:c>
      <x:c r="K8" s="56" t="str">
        <x:v>Schema und Migration folgen in V0.021</x:v>
      </x:c>
    </x:row>
    <x:row r="9">
      <x:c r="A9" s="54" t="str">
        <x:v>V0.021</x:v>
      </x:c>
      <x:c r="B9" s="55" t="n">
        <x:v>46253</x:v>
      </x:c>
      <x:c r="C9" s="56" t="str">
        <x:v>Schema und Migration</x:v>
      </x:c>
      <x:c r="D9" s="56" t="str">
        <x:v>Datenqualität</x:v>
      </x:c>
      <x:c r="E9" s="56" t="str">
        <x:v>Bestanden</x:v>
      </x:c>
      <x:c r="F9" s="56" t="str">
        <x:v>Gebündelt offen</x:v>
      </x:c>
      <x:c r="G9" s="56" t="str">
        <x:v>git:3fa7e59</x:v>
      </x:c>
      <x:c r="H9" s="56" t="str">
        <x:v>V0.021</x:v>
      </x:c>
      <x:c r="I9" s="56" t="str">
        <x:v>4ac95bbc48657ff2149582452fd5afaf8f1bcee32fbd5f5455c8f195cce43d95</x:v>
      </x:c>
      <x:c r="J9" s="56" t="str">
        <x:v>Schema-2-Validierung, Migration, Quarantäne und reale Altdateien</x:v>
      </x:c>
      <x:c r="K9" s="56" t="str">
        <x:v>Inhaltssanitization und Ressourcenlimits folgen in V0.022</x:v>
      </x:c>
    </x:row>
    <x:row r="10">
      <x:c r="A10" s="54" t="str">
        <x:v>V0.022</x:v>
      </x:c>
      <x:c r="B10" s="55" t="n">
        <x:v>46253</x:v>
      </x:c>
      <x:c r="C10" s="56" t="str">
        <x:v>Import- und Inhaltsgrenze</x:v>
      </x:c>
      <x:c r="D10" s="56" t="str">
        <x:v>Sicherheit</x:v>
      </x:c>
      <x:c r="E10" s="56" t="str">
        <x:v>Bestanden</x:v>
      </x:c>
      <x:c r="F10" s="56" t="str">
        <x:v>Gebündelt offen</x:v>
      </x:c>
      <x:c r="G10" s="56" t="str">
        <x:v>git:53e1e5f</x:v>
      </x:c>
      <x:c r="H10" s="56" t="str">
        <x:v>V0.022</x:v>
      </x:c>
      <x:c r="I10" s="56" t="str">
        <x:v>e5f88918a48b4ae413908365aba81881eb4a757ca8c90bf54eb4243725433465</x:v>
      </x:c>
      <x:c r="J10" s="56" t="str">
        <x:v>HTML-, URL-, Embed-, Bild-, Datei- und PPTX-Vertrauensgrenze</x:v>
      </x:c>
      <x:c r="K10" s="56" t="str">
        <x:v>Netzwerk-Null und CSP folgen kontrolliert in V0.027</x:v>
      </x:c>
    </x:row>
    <x:row r="11">
      <x:c r="A11" s="54" t="str">
        <x:v>V0.023</x:v>
      </x:c>
      <x:c r="B11" s="55" t="n">
        <x:v>46253</x:v>
      </x:c>
      <x:c r="C11" s="56" t="str">
        <x:v>Modulare Designsystemquelle</x:v>
      </x:c>
      <x:c r="D11" s="56" t="str">
        <x:v>Architektur</x:v>
      </x:c>
      <x:c r="E11" s="56" t="str">
        <x:v>Bestanden</x:v>
      </x:c>
      <x:c r="F11" s="56" t="str">
        <x:v>Gebündelt offen</x:v>
      </x:c>
      <x:c r="G11" s="56" t="str">
        <x:v>git:8605131</x:v>
      </x:c>
      <x:c r="H11" s="56" t="str">
        <x:v>V0.023</x:v>
      </x:c>
      <x:c r="I11" s="56" t="str">
        <x:v>efa38ba2267f36ec9b95d72535d1f536564c69a8d4508303685731462f8cbfdc</x:v>
      </x:c>
      <x:c r="J11" s="56" t="str">
        <x:v>11 gemeinsame Tokens, 14 Bausteinverträge, 45 Oberflächen</x:v>
      </x:c>
      <x:c r="K11" s="56" t="str">
        <x:v>Renderer-/Storage-Zerlegung folgt risikobezogen</x:v>
      </x:c>
    </x:row>
    <x:row r="12">
      <x:c r="A12" s="54" t="str">
        <x:v>V0.024</x:v>
      </x:c>
      <x:c r="B12" s="55" t="n">
        <x:v>46253</x:v>
      </x:c>
      <x:c r="C12" s="56" t="str">
        <x:v>Dedizierte Ansichtsdatei</x:v>
      </x:c>
      <x:c r="D12" s="56" t="str">
        <x:v>Viewer</x:v>
      </x:c>
      <x:c r="E12" s="56" t="str">
        <x:v>Bestanden</x:v>
      </x:c>
      <x:c r="F12" s="56" t="str">
        <x:v>Gebündelt offen</x:v>
      </x:c>
      <x:c r="G12" s="56" t="str">
        <x:v>git:1be2219</x:v>
      </x:c>
      <x:c r="H12" s="56" t="str">
        <x:v>V0.024</x:v>
      </x:c>
      <x:c r="I12" s="56" t="str">
        <x:v>d43cf20eeb6c90194daf39d31daba237188dcdf1b5a208ede7ccd432851f48a1</x:v>
      </x:c>
      <x:c r="J12" s="56" t="str">
        <x:v>Eigene Runtime, Minimalvertrag, keine Editor- oder Speicherlogik</x:v>
      </x:c>
      <x:c r="K12" s="56" t="str">
        <x:v>Reale Workshop-Sichtabnahme bleibt gebündelt</x:v>
      </x:c>
    </x:row>
    <x:row r="13">
      <x:c r="A13" s="54" t="str">
        <x:v>V0.025</x:v>
      </x:c>
      <x:c r="B13" s="55" t="n">
        <x:v>46253</x:v>
      </x:c>
      <x:c r="C13" s="56" t="str">
        <x:v>Bild- und Rendering-Performance</x:v>
      </x:c>
      <x:c r="D13" s="56" t="str">
        <x:v>Performance</x:v>
      </x:c>
      <x:c r="E13" s="56" t="str">
        <x:v>Bestanden</x:v>
      </x:c>
      <x:c r="F13" s="56" t="str">
        <x:v>Gebündelt offen</x:v>
      </x:c>
      <x:c r="G13" s="56" t="str">
        <x:v>git:e9c9a21</x:v>
      </x:c>
      <x:c r="H13" s="56" t="str">
        <x:v>V0.025</x:v>
      </x:c>
      <x:c r="I13" s="56" t="str">
        <x:v>5003b77587a3eaa807a8368ca7480d67886bf54f73a22ec905cdcd62394afb24</x:v>
      </x:c>
      <x:c r="J13" s="56" t="str">
        <x:v>Decode-Queue, Freigabe, Blob-Kodierung, reale Lastmessung</x:v>
      </x:c>
      <x:c r="K13" s="56" t="str">
        <x:v>Gefühlte Flüssigkeit bleibt Teil der Schlussabnahme</x:v>
      </x:c>
    </x:row>
    <x:row r="14">
      <x:c r="A14" s="54" t="str">
        <x:v>V0.026</x:v>
      </x:c>
      <x:c r="B14" s="55" t="n">
        <x:v>46253</x:v>
      </x:c>
      <x:c r="C14" s="56" t="str">
        <x:v>Stabilitätsmatrix und Konsolidierung</x:v>
      </x:c>
      <x:c r="D14" s="56" t="str">
        <x:v>Stabilität</x:v>
      </x:c>
      <x:c r="E14" s="56" t="str">
        <x:v>Bestanden</x:v>
      </x:c>
      <x:c r="F14" s="56" t="str">
        <x:v>Gebündelt offen</x:v>
      </x:c>
      <x:c r="G14" s="56" t="str">
        <x:v>git:87ab989</x:v>
      </x:c>
      <x:c r="H14" s="56" t="str">
        <x:v>V0.026</x:v>
      </x:c>
      <x:c r="I14" s="56" t="str">
        <x:v>473b1d7f2811d04128262fa32fccc71341e40a471929c584cf7c7976004886ff</x:v>
      </x:c>
      <x:c r="J14" s="56" t="str">
        <x:v>20 Fälle, reale Doppel-Roundtrips, Schreibgate und Browser-Rückfall</x:v>
      </x:c>
      <x:c r="K14" s="56" t="str">
        <x:v>Subjektive Gesamtnutzung bleibt Teil der Schlussabnahme</x:v>
      </x:c>
    </x:row>
    <x:row r="15">
      <x:c r="A15" s="54" t="str">
        <x:v>V0.027</x:v>
      </x:c>
      <x:c r="B15" s="55" t="n">
        <x:v>46253</x:v>
      </x:c>
      <x:c r="C15" s="56" t="str">
        <x:v>Offline-Bereitstellung und Netzwerk-Null</x:v>
      </x:c>
      <x:c r="D15" s="56" t="str">
        <x:v>Deployment</x:v>
      </x:c>
      <x:c r="E15" s="56" t="str">
        <x:v>Bestanden</x:v>
      </x:c>
      <x:c r="F15" s="56" t="str">
        <x:v>Gebündelt offen</x:v>
      </x:c>
      <x:c r="G15" s="56" t="str">
        <x:v>git:9a2b487</x:v>
      </x:c>
      <x:c r="H15" s="56" t="str">
        <x:v>V0.027</x:v>
      </x:c>
      <x:c r="I15" s="56" t="str">
        <x:v>2c7340303007d3ce950a187cd5c18e19fb5ab1c77514968d0a2a0e831e89ddb3</x:v>
      </x:c>
      <x:c r="J15" s="56" t="str">
        <x:v>Outfit lokal, Emoji-frei, CSP, Netzwerkwächter und Offline-PWA</x:v>
      </x:c>
      <x:c r="K15" s="56" t="str">
        <x:v>Hostprotokolle bleiben eigener organisatorischer Betriebsbereich</x:v>
      </x:c>
    </x:row>
    <x:row r="16">
      <x:c r="A16" s="54" t="str">
        <x:v>V0.028</x:v>
      </x:c>
      <x:c r="B16" s="55" t="n">
        <x:v>46253</x:v>
      </x:c>
      <x:c r="C16" s="56" t="str">
        <x:v>Externe Nachweise und Betriebsfreigabe</x:v>
      </x:c>
      <x:c r="D16" s="56" t="str">
        <x:v>Governance</x:v>
      </x:c>
      <x:c r="E16" s="56" t="str">
        <x:v>Bestanden</x:v>
      </x:c>
      <x:c r="F16" s="56" t="str">
        <x:v>Gebündelt offen</x:v>
      </x:c>
      <x:c r="G16" s="56" t="str">
        <x:v>git:146c13f</x:v>
      </x:c>
      <x:c r="H16" s="56" t="str">
        <x:v>V0.028</x:v>
      </x:c>
      <x:c r="I16" s="56" t="str">
        <x:v>d3c80eb5e9e9b513167e0e40a37a92462326275272405e65c2f7df3cf1762ad1</x:v>
      </x:c>
      <x:c r="J16" s="56" t="str">
        <x:v>16-Dateien-Nachweis, Betriebsregeln, Browser- und Offline-Vorprüfung</x:v>
      </x:c>
      <x:c r="K16" s="56" t="str">
        <x:v>Menschliche 12-Punkte-Sichtabnahme vorbereitet</x:v>
      </x:c>
    </x:row>
    <x:row r="17">
      <x:c r="A17" s="54" t="str">
        <x:v>V0.029</x:v>
      </x:c>
      <x:c r="B17" s="55" t="n">
        <x:v>46253</x:v>
      </x:c>
      <x:c r="C17" s="56" t="str">
        <x:v>Projektportabilität und kompakte Nachlese</x:v>
      </x:c>
      <x:c r="D17" s="56" t="str">
        <x:v>Portabilität</x:v>
      </x:c>
      <x:c r="E17" s="56" t="str">
        <x:v>Bestanden</x:v>
      </x:c>
      <x:c r="F17" s="56" t="str">
        <x:v>Gebündelt offen</x:v>
      </x:c>
      <x:c r="G17" s="56" t="str">
        <x:v>git:6836edf</x:v>
      </x:c>
      <x:c r="H17" s="56" t="str">
        <x:v>V0.029</x:v>
      </x:c>
      <x:c r="I17" s="56" t="str">
        <x:v>d5764e5d9ccf3e083c6bbb90ea7f20a65ce82aad2b0485fa952e0952c34c0aab</x:v>
      </x:c>
      <x:c r="J17" s="56" t="str">
        <x:v>Schema-3-Bildrettung, decode-sicherer Neuaufbau, Projektdatei-Fluss, Ebenen und Handout</x:v>
      </x:c>
      <x:c r="K17" s="56" t="str">
        <x:v>Gebündelte Sichtabnahme durch Johannes offen</x:v>
      </x:c>
    </x:row>
    <x:row r="18">
      <x:c r="A18" s="54" t="str">
        <x:v>V0.030</x:v>
      </x:c>
      <x:c r="B18" s="55" t="n">
        <x:v>46253</x:v>
      </x:c>
      <x:c r="C18" s="56" t="str">
        <x:v>Vollrahmen-Navigation und klare Dateifreigabe</x:v>
      </x:c>
      <x:c r="D18" s="56" t="str">
        <x:v>Navigation</x:v>
      </x:c>
      <x:c r="E18" s="56" t="str">
        <x:v>Bestanden</x:v>
      </x:c>
      <x:c r="F18" s="56" t="str">
        <x:v>Gebündelt offen</x:v>
      </x:c>
      <x:c r="G18" s="56" t="str">
        <x:v>git:15ee115</x:v>
      </x:c>
      <x:c r="H18" s="56" t="str">
        <x:v>V0.030</x:v>
      </x:c>
      <x:c r="I18" s="56" t="str">
        <x:v>875e8daebe68b6829c60855a0ea49e228f0e80fe1c60fc7861ac4f9ac241894c</x:v>
      </x:c>
      <x:c r="J18" s="56" t="str">
        <x:v>Gemeinsamer Kamera-Fit, modaler Dateiwegweiser, rahmengebundene Ebenen und reduzierte Demo</x:v>
      </x:c>
      <x:c r="K18" s="56" t="str">
        <x:v>Gebündelte Sichtabnahme durch Johannes offen</x:v>
      </x:c>
    </x:row>
    <x:row r="19">
      <x:c r="A19" s="54" t="str">
        <x:v>V0.031</x:v>
      </x:c>
      <x:c r="B19" s="55" t="n">
        <x:v>46253</x:v>
      </x:c>
      <x:c r="C19" s="56" t="str">
        <x:v>Ebenenvorschau und eindeutiger Root</x:v>
      </x:c>
      <x:c r="D19" s="56" t="str">
        <x:v>Bearbeitung</x:v>
      </x:c>
      <x:c r="E19" s="56" t="str">
        <x:v>Bestanden</x:v>
      </x:c>
      <x:c r="F19" s="56" t="str">
        <x:v>Gebündelt offen</x:v>
      </x:c>
      <x:c r="G19" s="56" t="str">
        <x:v>git:7e49def</x:v>
      </x:c>
      <x:c r="H19" s="56" t="str">
        <x:v>V0.031</x:v>
      </x:c>
      <x:c r="I19" s="56" t="str">
        <x:v>924d72450f6c675f869d048ba52f4947610648e9847cde1448dd970214d9bb1d</x:v>
      </x:c>
      <x:c r="J19" s="56" t="str">
        <x:v>Flüchtige Hover-/Fokusvorschau im Ebenenmenü und bereinigte Root-Ebene</x:v>
      </x:c>
      <x:c r="K19" s="56" t="str">
        <x:v>Gebündelte Sichtabnahme durch Johannes offen</x:v>
      </x:c>
    </x:row>
    <x:row r="20">
      <x:c r="A20" s="54" t="str">
        <x:v>V0.032</x:v>
      </x:c>
      <x:c r="B20" s="55" t="n">
        <x:v>46253</x:v>
      </x:c>
      <x:c r="C20" s="56" t="str">
        <x:v>Klare Projektwege und portable Ausgaben</x:v>
      </x:c>
      <x:c r="D20" s="56" t="str">
        <x:v>Dateien und UX</x:v>
      </x:c>
      <x:c r="E20" s="56" t="str">
        <x:v>Bestanden</x:v>
      </x:c>
      <x:c r="F20" s="56" t="str">
        <x:v>Gebündelt offen</x:v>
      </x:c>
      <x:c r="G20" s="56" t="str">
        <x:v>git:b1c002d</x:v>
      </x:c>
      <x:c r="H20" s="56" t="str">
        <x:v>V0.032</x:v>
      </x:c>
      <x:c r="I20" s="56" t="str">
        <x:v>321b35d19a85ad905df469cbf9573d22b13e75eeaac7b7b08927b3b7153d6eb6</x:v>
      </x:c>
      <x:c r="J20" s="56" t="str">
        <x:v>Lokale und portable Wege, neutrale Programmdatei, PDF-Handout, Logo-Werkzeuge und kanonischer Kasten-Dialog</x:v>
      </x:c>
      <x:c r="K20" s="56" t="str">
        <x:v>Gebündelte Sichtabnahme durch Johannes offen</x:v>
      </x:c>
    </x:row>
    <x:row r="21">
      <x:c r="A21" s="54" t="str">
        <x:v>V0.033</x:v>
      </x:c>
      <x:c r="B21" s="55" t="n">
        <x:v>46253</x:v>
      </x:c>
      <x:c r="C21" s="56" t="str">
        <x:v>Sichtbarer Ansichts-Export</x:v>
      </x:c>
      <x:c r="D21" s="56" t="str">
        <x:v>Viewer</x:v>
      </x:c>
      <x:c r="E21" s="56" t="str">
        <x:v>Bestanden</x:v>
      </x:c>
      <x:c r="F21" s="56" t="str">
        <x:v>Gebündelt offen</x:v>
      </x:c>
      <x:c r="G21" s="56" t="str">
        <x:v>git:14bb117</x:v>
      </x:c>
      <x:c r="H21" s="56" t="str">
        <x:v>V0.033</x:v>
      </x:c>
      <x:c r="I21" s="56" t="str">
        <x:v>8ea2d0b23b3a4156c6c0ce66f8fc0a611561bdddabd8195095875d34257a49e9</x:v>
      </x:c>
      <x:c r="J21" s="56" t="str">
        <x:v>Doppelte Bereinigung temporärer Virtualisierungszustände in Snapshot und Viewer</x:v>
      </x:c>
      <x:c r="K21" s="56" t="str">
        <x:v>Gebündelte Sichtabnahme durch Johannes offen</x:v>
      </x:c>
    </x:row>
    <x:row r="22">
      <x:c r="A22" s="54" t="str">
        <x:v>V0.034</x:v>
      </x:c>
      <x:c r="B22" s="55" t="n">
        <x:v>46253</x:v>
      </x:c>
      <x:c r="C22" s="56" t="str">
        <x:v>Kamera und Notizen</x:v>
      </x:c>
      <x:c r="D22" s="56" t="str">
        <x:v>Navigation</x:v>
      </x:c>
      <x:c r="E22" s="56" t="str">
        <x:v>Bestanden</x:v>
      </x:c>
      <x:c r="F22" s="56" t="str">
        <x:v>Gebündelt offen</x:v>
      </x:c>
      <x:c r="G22" s="56" t="str">
        <x:v>git:c3f906d</x:v>
      </x:c>
      <x:c r="H22" s="56" t="str">
        <x:v>V0.034</x:v>
      </x:c>
      <x:c r="I22" s="56" t="str">
        <x:v>c9d66a9b736d4726ada720f14e4d1cbd7b1b931ab6075a8bf836fcb6af5b20e6</x:v>
      </x:c>
      <x:c r="J22" s="56" t="str">
        <x:v>Ausgewogener Kamera-Fit, enger Kapitelübergang und Notizen außerhalb des Rahmens</x:v>
      </x:c>
      <x:c r="K22" s="56" t="str">
        <x:v>Gebündelte Sichtabnahme durch Johannes offen</x:v>
      </x:c>
    </x:row>
    <x:row r="23">
      <x:c r="A23" s="54" t="str">
        <x:v>V0.035</x:v>
      </x:c>
      <x:c r="B23" s="55" t="n">
        <x:v>46253</x:v>
      </x:c>
      <x:c r="C23" s="56" t="str">
        <x:v>Stabile Ansichts-Navigation</x:v>
      </x:c>
      <x:c r="D23" s="56" t="str">
        <x:v>Viewer</x:v>
      </x:c>
      <x:c r="E23" s="56" t="str">
        <x:v>Bestanden</x:v>
      </x:c>
      <x:c r="F23" s="56" t="str">
        <x:v>Gebündelt offen</x:v>
      </x:c>
      <x:c r="G23" s="56" t="str">
        <x:v>git:281dc62</x:v>
      </x:c>
      <x:c r="H23" s="56" t="str">
        <x:v>V0.035</x:v>
      </x:c>
      <x:c r="I23" s="56" t="str">
        <x:v>970f3336217552578c648b05b65015d2af8bf550d6aba1434e16f757c5346a08</x:v>
      </x:c>
      <x:c r="J23" s="56" t="str">
        <x:v>Feste Navigation, Kapitelgruppen und PNG-Transparenz im eigenständigen Viewer</x:v>
      </x:c>
      <x:c r="K23" s="56" t="str">
        <x:v>Gebündelte Sichtabnahme durch Johannes offen</x:v>
      </x:c>
    </x:row>
    <x:row r="24">
      <x:c r="A24" s="54" t="str">
        <x:v>V0.036</x:v>
      </x:c>
      <x:c r="B24" s="55" t="n">
        <x:v>46253</x:v>
      </x:c>
      <x:c r="C24" s="56" t="str">
        <x:v>Farbe als eigenes Werkzeug</x:v>
      </x:c>
      <x:c r="D24" s="56" t="str">
        <x:v>Bearbeitung</x:v>
      </x:c>
      <x:c r="E24" s="56" t="str">
        <x:v>Bestanden</x:v>
      </x:c>
      <x:c r="F24" s="56" t="str">
        <x:v>Gebündelt offen</x:v>
      </x:c>
      <x:c r="G24" s="56" t="str">
        <x:v>git:4e05824</x:v>
      </x:c>
      <x:c r="H24" s="56" t="str">
        <x:v>V0.036</x:v>
      </x:c>
      <x:c r="I24" s="56" t="str">
        <x:v>1b7d89f102a570b56849e725ec6c1a3f65b8dc8e19073e8f2fde3aac96b06a56</x:v>
      </x:c>
      <x:c r="J24" s="56" t="str">
        <x:v>Kanonischer Farbendialog und logisch geordnete Bearbeitungsleiste</x:v>
      </x:c>
      <x:c r="K24" s="56" t="str">
        <x:v>Gebündelte Sichtabnahme durch Johannes offen</x:v>
      </x:c>
    </x:row>
    <x:row r="25">
      <x:c r="A25" s="54" t="str">
        <x:v>V0.037</x:v>
      </x:c>
      <x:c r="B25" s="55" t="n">
        <x:v>46253</x:v>
      </x:c>
      <x:c r="C25" s="56" t="str">
        <x:v>Technische Produktreife und lokale Resilienz</x:v>
      </x:c>
      <x:c r="D25" s="56" t="str">
        <x:v>Stabilität</x:v>
      </x:c>
      <x:c r="E25" s="56" t="str">
        <x:v>Bestanden</x:v>
      </x:c>
      <x:c r="F25" s="56" t="str">
        <x:v>Gebündelt offen</x:v>
      </x:c>
      <x:c r="G25" s="56" t="str">
        <x:v>git:4a48d99</x:v>
      </x:c>
      <x:c r="H25" s="56" t="str">
        <x:v>V0.037</x:v>
      </x:c>
      <x:c r="I25" s="56" t="str">
        <x:v>80f124b569925ad122b96abbe22e604264b3c74cf87ef6b67e1c69cddf781c93</x:v>
      </x:c>
      <x:c r="J25" s="56" t="str">
        <x:v>Rollierende Sicherungen, Speicherwächter, Diagnose und transaktionaler PPTX-Import</x:v>
      </x:c>
      <x:c r="K25" s="56" t="str">
        <x:v>Gebündelte Sichtabnahme durch Johannes offen</x:v>
      </x:c>
    </x:row>
    <x:row r="26">
      <x:c r="A26" s="54" t="str">
        <x:v>V0.038</x:v>
      </x:c>
      <x:c r="B26" s="55" t="n">
        <x:v>46253</x:v>
      </x:c>
      <x:c r="C26" s="56" t="str">
        <x:v>Produktreife und reale Sichtprüfung</x:v>
      </x:c>
      <x:c r="D26" s="56" t="str">
        <x:v>Freigabe</x:v>
      </x:c>
      <x:c r="E26" s="56" t="str">
        <x:v>Bestanden</x:v>
      </x:c>
      <x:c r="F26" s="56" t="str">
        <x:v>Gebündelt offen</x:v>
      </x:c>
      <x:c r="G26" s="56" t="str">
        <x:v>git:43aafe6</x:v>
      </x:c>
      <x:c r="H26" s="56" t="str">
        <x:v>V0.038</x:v>
      </x:c>
      <x:c r="I26" s="56" t="str">
        <x:v>37890bb06ea6e35bf2f4faa0142c5487c2bbdd58fc4c78c60ba81849afa9e16e</x:v>
      </x:c>
      <x:c r="J26" s="56" t="str">
        <x:v>Gemeinsamer Kamera-/Notizvertrag, präziser Viewer, technische Resilienz und reale 30-Stationen-Prüfung</x:v>
      </x:c>
      <x:c r="K26" s="56" t="str">
        <x:v>Abschließende Sichtentscheidung durch Johannes offen</x:v>
      </x:c>
    </x:row>
    <x:row r="27">
      <x:c r="A27" s="54" t="str">
        <x:v>V0.039</x:v>
      </x:c>
      <x:c r="B27" s="55" t="n">
        <x:v>46253</x:v>
      </x:c>
      <x:c r="C27" s="56" t="str">
        <x:v>Sichere Bibliothek und skalierbare Navigation</x:v>
      </x:c>
      <x:c r="D27" s="56" t="str">
        <x:v>Bedienung und Persistenz</x:v>
      </x:c>
      <x:c r="E27" s="56" t="str">
        <x:v>Bestanden</x:v>
      </x:c>
      <x:c r="F27" s="56" t="str">
        <x:v>Gebündelt offen</x:v>
      </x:c>
      <x:c r="G27" s="56" t="str">
        <x:v>siehe Git-Tag</x:v>
      </x:c>
      <x:c r="H27" s="56" t="str">
        <x:v>V0.039</x:v>
      </x:c>
      <x:c r="I27" s="56" t="str">
        <x:v>5b5cb6f0e96f95fe2dada1464922c056c625f71d4c69bc8fba03fb8b4527c225</x:v>
      </x:c>
      <x:c r="J27" s="56" t="str">
        <x:v>Scrollbarer Stationspfad, kompakte Kapitelmarke, feste Demo, bestätigtes Löschen, benannter Projektstart und verständlicher Speicherhinweis</x:v>
      </x:c>
      <x:c r="K27" s="56" t="str">
        <x:v>Abschließende Sichtentscheidung durch Johannes offen</x:v>
      </x:c>
    </x:row>
    <x:row r="28">
      <x:c r="A28" s="54" t="str">
        <x:v>V0.040</x:v>
      </x:c>
      <x:c r="B28" s="55" t="n">
        <x:v>46253</x:v>
      </x:c>
      <x:c r="C28" s="56" t="str">
        <x:v>Transparenz, Offline-Grenzen und Materiallizenz</x:v>
      </x:c>
      <x:c r="D28" s="56" t="str">
        <x:v>Transparenz und Export</x:v>
      </x:c>
      <x:c r="E28" s="56" t="str">
        <x:v>Bestanden</x:v>
      </x:c>
      <x:c r="F28" s="56" t="str">
        <x:v>Gebündelt offen</x:v>
      </x:c>
      <x:c r="G28" s="56" t="str">
        <x:v>gebündelt in V0.041</x:v>
      </x:c>
      <x:c r="H28" s="56" t="str">
        <x:v>kein separater Tag</x:v>
      </x:c>
      <x:c r="I28" s="56" t="str">
        <x:v>f94052169ddd38b6ff9309f28a521bf338ce53d60330f377c4fa199fc47bc040</x:v>
      </x:c>
      <x:c r="J28" s="56" t="str">
        <x:v>Gemeinsame Infofläche, ehrliche Offline-Grenzen sowie getrennte Autoren-, Material- und Softwarelizenz</x:v>
      </x:c>
      <x:c r="K28" s="56" t="str">
        <x:v>Abschließende Sichtentscheidung durch Johannes offen</x:v>
      </x:c>
    </x:row>
    <x:row r="29">
      <x:c r="A29" s="54" t="str">
        <x:v>V0.041</x:v>
      </x:c>
      <x:c r="B29" s="55" t="n">
        <x:v>46253</x:v>
      </x:c>
      <x:c r="C29" s="56" t="str">
        <x:v>Produktumbenennung und kompatible Migration</x:v>
      </x:c>
      <x:c r="D29" s="56" t="str">
        <x:v>Identität und Persistenz</x:v>
      </x:c>
      <x:c r="E29" s="56" t="str">
        <x:v>Bestanden</x:v>
      </x:c>
      <x:c r="F29" s="56" t="str">
        <x:v>Gebündelt offen</x:v>
      </x:c>
      <x:c r="G29" s="56" t="str">
        <x:v>siehe Git-Tag</x:v>
      </x:c>
      <x:c r="H29" s="56" t="str">
        <x:v>V0.041</x:v>
      </x:c>
      <x:c r="I29" s="56" t="str">
        <x:v>890d51aeecab46075a41c0d969a23fff10f5cd833ee4d154f345f37de09261ae</x:v>
      </x:c>
      <x:c r="J29" s="56" t="str">
        <x:v>ZEIG HER Slides in allen aktuellen Artefakten, duale Legacy-Migration und alte Projektdateien weiterhin lesbar</x:v>
      </x:c>
      <x:c r="K29" s="56" t="str">
        <x:v>Abschließende Sichtentscheidung durch Johannes offen</x:v>
      </x:c>
    </x:row>
    <x:row r="30">
      <x:c r="A30" s="57" t="str">
        <x:v>V0.042</x:v>
      </x:c>
      <x:c r="B30" s="58" t="n">
        <x:v>46253</x:v>
      </x:c>
      <x:c r="C30" s="59" t="str">
        <x:v>Stabile Kamera und vollständige Ansichtsübersicht</x:v>
      </x:c>
      <x:c r="D30" s="59" t="str">
        <x:v>Viewer und Navigation</x:v>
      </x:c>
      <x:c r="E30" s="59" t="str">
        <x:v>Bestanden</x:v>
      </x:c>
      <x:c r="F30" s="59" t="str">
        <x:v>Gebündelt offen</x:v>
      </x:c>
      <x:c r="G30" s="59" t="str">
        <x:v>siehe Git-Tag</x:v>
      </x:c>
      <x:c r="H30" s="59" t="str">
        <x:v>V0.042</x:v>
      </x:c>
      <x:c r="I30" s="59" t="str">
        <x:v>9a64db647b572ed55e84ac3bab00a1281dd611b7c3dabe02d79ae89c46b5544a</x:v>
      </x:c>
      <x:c r="J30" s="59" t="str">
        <x:v>Kollisionsfreies HUD, gemeinsamer Kamera-Nachlauf, Kapitelmarken und Stationsfokus in der Ansichtsübersicht</x:v>
      </x:c>
      <x:c r="K30" s="59" t="str">
        <x:v>Abschließende Sichtentscheidung durch Johannes offen</x:v>
      </x:c>
    </x:row>
  </x:sheetData>
  <x:mergeCells>
    <x:mergeCell ref="A1:K2"/>
  </x:mergeCells>
  <x:conditionalFormatting sqref="E5:E30">
    <x:cfRule type="containsText" dxfId="0" priority="1" operator="containsText" text="Bestanden"/>
    <x:cfRule type="containsText" dxfId="1" priority="2" operator="containsText" text="Geplant"/>
    <x:cfRule type="containsText" dxfId="2" priority="3" operator="containsText" text="Fehlgeschlagen"/>
  </x:conditionalFormatting>
  <x:dataValidations count="2">
    <x:dataValidation type="list" sqref="E5:E30">
      <x:formula1>"Bestanden,In Arbeit,Geplant,Fehlgeschlagen"</x:formula1>
    </x:dataValidation>
    <x:dataValidation type="list" sqref="F5:F30">
      <x:formula1>"Bestanden,Gebündelt offen,Nicht begonnen,Nicht erforderlich"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7585a8661f4f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6" t="str">
        <x:v>Qualitätsgates je Version</x:v>
      </x:c>
      <x:c r="B1" s="46"/>
      <x:c r="C1" s="46"/>
      <x:c r="D1" s="46"/>
      <x:c r="E1" s="46"/>
      <x:c r="F1" s="46"/>
      <x:c r="G1" s="46"/>
      <x:c r="H1" s="46"/>
      <x:c r="I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</x:row>
    <x:row r="4">
      <x:c r="A4" s="63" t="str">
        <x:v>Version</x:v>
      </x:c>
      <x:c r="B4" s="64" t="str">
        <x:v>Build</x:v>
      </x:c>
      <x:c r="C4" s="64" t="str">
        <x:v>Tests</x:v>
      </x:c>
      <x:c r="D4" s="64" t="str">
        <x:v>Browser</x:v>
      </x:c>
      <x:c r="E4" s="64" t="str">
        <x:v>Persistenz</x:v>
      </x:c>
      <x:c r="F4" s="64" t="str">
        <x:v>Sicherheit</x:v>
      </x:c>
      <x:c r="G4" s="64" t="str">
        <x:v>Viewer</x:v>
      </x:c>
      <x:c r="H4" s="64" t="str">
        <x:v>Performance</x:v>
      </x:c>
      <x:c r="I4" s="65" t="str">
        <x:v>Manuell</x:v>
      </x:c>
    </x:row>
    <x:row r="5">
      <x:c r="A5" s="66" t="str">
        <x:v>V0.017</x:v>
      </x:c>
      <x:c r="B5" s="67" t="str">
        <x:v>Bestanden</x:v>
      </x:c>
      <x:c r="C5" s="67" t="str">
        <x:v>Bestanden</x:v>
      </x:c>
      <x:c r="D5" s="67" t="str">
        <x:v>Nicht geprüft</x:v>
      </x:c>
      <x:c r="E5" s="67" t="str">
        <x:v>Offen</x:v>
      </x:c>
      <x:c r="F5" s="67" t="str">
        <x:v>Offen</x:v>
      </x:c>
      <x:c r="G5" s="67" t="str">
        <x:v>Offen</x:v>
      </x:c>
      <x:c r="H5" s="67" t="str">
        <x:v>Nicht geprüft</x:v>
      </x:c>
      <x:c r="I5" s="68" t="str">
        <x:v>Offen</x:v>
      </x:c>
    </x:row>
    <x:row r="6">
      <x:c r="A6" s="66" t="str">
        <x:v>V0.018</x:v>
      </x:c>
      <x:c r="B6" s="67" t="str">
        <x:v>Bestanden</x:v>
      </x:c>
      <x:c r="C6" s="67" t="str">
        <x:v>Bestanden</x:v>
      </x:c>
      <x:c r="D6" s="67" t="str">
        <x:v>Bestanden</x:v>
      </x:c>
      <x:c r="E6" s="67" t="str">
        <x:v>Offen</x:v>
      </x:c>
      <x:c r="F6" s="67" t="str">
        <x:v>Offen</x:v>
      </x:c>
      <x:c r="G6" s="67" t="str">
        <x:v>Offen</x:v>
      </x:c>
      <x:c r="H6" s="67" t="str">
        <x:v>Nicht geprüft</x:v>
      </x:c>
      <x:c r="I6" s="68" t="str">
        <x:v>Offen</x:v>
      </x:c>
    </x:row>
    <x:row r="7">
      <x:c r="A7" s="66" t="str">
        <x:v>V0.019</x:v>
      </x:c>
      <x:c r="B7" s="67" t="str">
        <x:v>Bestanden</x:v>
      </x:c>
      <x:c r="C7" s="67" t="str">
        <x:v>Bestanden</x:v>
      </x:c>
      <x:c r="D7" s="67" t="str">
        <x:v>Bestanden</x:v>
      </x:c>
      <x:c r="E7" s="67" t="str">
        <x:v>Teilweise</x:v>
      </x:c>
      <x:c r="F7" s="67" t="str">
        <x:v>Offen</x:v>
      </x:c>
      <x:c r="G7" s="67" t="str">
        <x:v>Offen</x:v>
      </x:c>
      <x:c r="H7" s="67" t="str">
        <x:v>Nicht geprüft</x:v>
      </x:c>
      <x:c r="I7" s="68" t="str">
        <x:v>Offen</x:v>
      </x:c>
    </x:row>
    <x:row r="8">
      <x:c r="A8" s="66" t="str">
        <x:v>V0.020</x:v>
      </x:c>
      <x:c r="B8" s="67" t="str">
        <x:v>Bestanden</x:v>
      </x:c>
      <x:c r="C8" s="67" t="str">
        <x:v>Bestanden</x:v>
      </x:c>
      <x:c r="D8" s="67" t="str">
        <x:v>Bestanden</x:v>
      </x:c>
      <x:c r="E8" s="67" t="str">
        <x:v>Bestanden</x:v>
      </x:c>
      <x:c r="F8" s="67" t="str">
        <x:v>Offen</x:v>
      </x:c>
      <x:c r="G8" s="67" t="str">
        <x:v>Offen</x:v>
      </x:c>
      <x:c r="H8" s="67" t="str">
        <x:v>Nicht geprüft</x:v>
      </x:c>
      <x:c r="I8" s="68" t="str">
        <x:v>Offen</x:v>
      </x:c>
    </x:row>
    <x:row r="9">
      <x:c r="A9" s="66" t="str">
        <x:v>V0.021</x:v>
      </x:c>
      <x:c r="B9" s="67" t="str">
        <x:v>Bestanden</x:v>
      </x:c>
      <x:c r="C9" s="67" t="str">
        <x:v>Bestanden</x:v>
      </x:c>
      <x:c r="D9" s="67" t="str">
        <x:v>Bestanden</x:v>
      </x:c>
      <x:c r="E9" s="67" t="str">
        <x:v>Bestanden</x:v>
      </x:c>
      <x:c r="F9" s="67" t="str">
        <x:v>Teilweise</x:v>
      </x:c>
      <x:c r="G9" s="67" t="str">
        <x:v>Offen</x:v>
      </x:c>
      <x:c r="H9" s="67" t="str">
        <x:v>Teilweise</x:v>
      </x:c>
      <x:c r="I9" s="68" t="str">
        <x:v>Offen</x:v>
      </x:c>
    </x:row>
    <x:row r="10">
      <x:c r="A10" s="66" t="str">
        <x:v>V0.022</x:v>
      </x:c>
      <x:c r="B10" s="67" t="str">
        <x:v>Bestanden</x:v>
      </x:c>
      <x:c r="C10" s="67" t="str">
        <x:v>Bestanden</x:v>
      </x:c>
      <x:c r="D10" s="67" t="str">
        <x:v>Bestanden</x:v>
      </x:c>
      <x:c r="E10" s="67" t="str">
        <x:v>Bestanden</x:v>
      </x:c>
      <x:c r="F10" s="67" t="str">
        <x:v>Teilweise</x:v>
      </x:c>
      <x:c r="G10" s="67" t="str">
        <x:v>Teilweise</x:v>
      </x:c>
      <x:c r="H10" s="67" t="str">
        <x:v>Teilweise</x:v>
      </x:c>
      <x:c r="I10" s="68" t="str">
        <x:v>Offen</x:v>
      </x:c>
    </x:row>
    <x:row r="11">
      <x:c r="A11" s="66" t="str">
        <x:v>V0.023</x:v>
      </x:c>
      <x:c r="B11" s="67" t="str">
        <x:v>Bestanden</x:v>
      </x:c>
      <x:c r="C11" s="67" t="str">
        <x:v>Bestanden</x:v>
      </x:c>
      <x:c r="D11" s="67" t="str">
        <x:v>Bestanden</x:v>
      </x:c>
      <x:c r="E11" s="67" t="str">
        <x:v>Bestanden</x:v>
      </x:c>
      <x:c r="F11" s="67" t="str">
        <x:v>Bestanden</x:v>
      </x:c>
      <x:c r="G11" s="67" t="str">
        <x:v>Teilweise</x:v>
      </x:c>
      <x:c r="H11" s="67" t="str">
        <x:v>Teilweise</x:v>
      </x:c>
      <x:c r="I11" s="68" t="str">
        <x:v>Offen</x:v>
      </x:c>
    </x:row>
    <x:row r="12">
      <x:c r="A12" s="66" t="str">
        <x:v>V0.024</x:v>
      </x:c>
      <x:c r="B12" s="67" t="str">
        <x:v>Bestanden</x:v>
      </x:c>
      <x:c r="C12" s="67" t="str">
        <x:v>Bestanden</x:v>
      </x:c>
      <x:c r="D12" s="67" t="str">
        <x:v>Bestanden</x:v>
      </x:c>
      <x:c r="E12" s="67" t="str">
        <x:v>Nicht geprüft</x:v>
      </x:c>
      <x:c r="F12" s="67" t="str">
        <x:v>Bestanden</x:v>
      </x:c>
      <x:c r="G12" s="67" t="str">
        <x:v>Bestanden</x:v>
      </x:c>
      <x:c r="H12" s="67" t="str">
        <x:v>Nicht geprüft</x:v>
      </x:c>
      <x:c r="I12" s="68" t="str">
        <x:v>Offen</x:v>
      </x:c>
    </x:row>
    <x:row r="13">
      <x:c r="A13" s="66" t="str">
        <x:v>V0.025</x:v>
      </x:c>
      <x:c r="B13" s="67" t="str">
        <x:v>Bestanden</x:v>
      </x:c>
      <x:c r="C13" s="67" t="str">
        <x:v>Bestanden</x:v>
      </x:c>
      <x:c r="D13" s="67" t="str">
        <x:v>Bestanden</x:v>
      </x:c>
      <x:c r="E13" s="67" t="str">
        <x:v>Bestanden</x:v>
      </x:c>
      <x:c r="F13" s="67" t="str">
        <x:v>Bestanden</x:v>
      </x:c>
      <x:c r="G13" s="67" t="str">
        <x:v>Bestanden</x:v>
      </x:c>
      <x:c r="H13" s="67" t="str">
        <x:v>Bestanden</x:v>
      </x:c>
      <x:c r="I13" s="68" t="str">
        <x:v>Offen</x:v>
      </x:c>
    </x:row>
    <x:row r="14">
      <x:c r="A14" s="66" t="str">
        <x:v>V0.026</x:v>
      </x:c>
      <x:c r="B14" s="67" t="str">
        <x:v>Bestanden</x:v>
      </x:c>
      <x:c r="C14" s="67" t="str">
        <x:v>Bestanden</x:v>
      </x:c>
      <x:c r="D14" s="67" t="str">
        <x:v>Bestanden</x:v>
      </x:c>
      <x:c r="E14" s="67" t="str">
        <x:v>Bestanden</x:v>
      </x:c>
      <x:c r="F14" s="67" t="str">
        <x:v>Bestanden</x:v>
      </x:c>
      <x:c r="G14" s="67" t="str">
        <x:v>Bestanden</x:v>
      </x:c>
      <x:c r="H14" s="67" t="str">
        <x:v>Bestanden</x:v>
      </x:c>
      <x:c r="I14" s="68" t="str">
        <x:v>Offen</x:v>
      </x:c>
    </x:row>
    <x:row r="15">
      <x:c r="A15" s="66" t="str">
        <x:v>V0.027</x:v>
      </x:c>
      <x:c r="B15" s="67" t="str">
        <x:v>Bestanden</x:v>
      </x:c>
      <x:c r="C15" s="67" t="str">
        <x:v>Bestanden</x:v>
      </x:c>
      <x:c r="D15" s="67" t="str">
        <x:v>Bestanden</x:v>
      </x:c>
      <x:c r="E15" s="67" t="str">
        <x:v>Bestanden</x:v>
      </x:c>
      <x:c r="F15" s="67" t="str">
        <x:v>Bestanden</x:v>
      </x:c>
      <x:c r="G15" s="67" t="str">
        <x:v>Bestanden</x:v>
      </x:c>
      <x:c r="H15" s="67" t="str">
        <x:v>Bestanden</x:v>
      </x:c>
      <x:c r="I15" s="68" t="str">
        <x:v>Offen</x:v>
      </x:c>
    </x:row>
    <x:row r="16">
      <x:c r="A16" s="66" t="str">
        <x:v>V0.028</x:v>
      </x:c>
      <x:c r="B16" s="67" t="str">
        <x:v>Bestanden</x:v>
      </x:c>
      <x:c r="C16" s="67" t="str">
        <x:v>Bestanden</x:v>
      </x:c>
      <x:c r="D16" s="67" t="str">
        <x:v>Bestanden</x:v>
      </x:c>
      <x:c r="E16" s="67" t="str">
        <x:v>Bestanden</x:v>
      </x:c>
      <x:c r="F16" s="67" t="str">
        <x:v>Bestanden</x:v>
      </x:c>
      <x:c r="G16" s="67" t="str">
        <x:v>Bestanden</x:v>
      </x:c>
      <x:c r="H16" s="67" t="str">
        <x:v>Bestanden</x:v>
      </x:c>
      <x:c r="I16" s="68" t="str">
        <x:v>Offen</x:v>
      </x:c>
    </x:row>
    <x:row r="17">
      <x:c r="A17" s="66" t="str">
        <x:v>V0.029</x:v>
      </x:c>
      <x:c r="B17" s="67" t="str">
        <x:v>Bestanden</x:v>
      </x:c>
      <x:c r="C17" s="67" t="str">
        <x:v>Bestanden</x:v>
      </x:c>
      <x:c r="D17" s="67" t="str">
        <x:v>Bestanden</x:v>
      </x:c>
      <x:c r="E17" s="67" t="str">
        <x:v>Bestanden</x:v>
      </x:c>
      <x:c r="F17" s="67" t="str">
        <x:v>Bestanden</x:v>
      </x:c>
      <x:c r="G17" s="67" t="str">
        <x:v>Bestanden</x:v>
      </x:c>
      <x:c r="H17" s="67" t="str">
        <x:v>Bestanden</x:v>
      </x:c>
      <x:c r="I17" s="68" t="str">
        <x:v>Offen</x:v>
      </x:c>
    </x:row>
    <x:row r="18">
      <x:c r="A18" s="66" t="str">
        <x:v>V0.030</x:v>
      </x:c>
      <x:c r="B18" s="67" t="str">
        <x:v>Bestanden</x:v>
      </x:c>
      <x:c r="C18" s="67" t="str">
        <x:v>Bestanden</x:v>
      </x:c>
      <x:c r="D18" s="67" t="str">
        <x:v>Bestanden</x:v>
      </x:c>
      <x:c r="E18" s="67" t="str">
        <x:v>Bestanden</x:v>
      </x:c>
      <x:c r="F18" s="67" t="str">
        <x:v>Bestanden</x:v>
      </x:c>
      <x:c r="G18" s="67" t="str">
        <x:v>Bestanden</x:v>
      </x:c>
      <x:c r="H18" s="67" t="str">
        <x:v>Bestanden</x:v>
      </x:c>
      <x:c r="I18" s="68" t="str">
        <x:v>Offen</x:v>
      </x:c>
    </x:row>
    <x:row r="19">
      <x:c r="A19" s="66" t="str">
        <x:v>V0.031</x:v>
      </x:c>
      <x:c r="B19" s="67" t="str">
        <x:v>Bestanden</x:v>
      </x:c>
      <x:c r="C19" s="67" t="str">
        <x:v>Bestanden</x:v>
      </x:c>
      <x:c r="D19" s="67" t="str">
        <x:v>Bestanden</x:v>
      </x:c>
      <x:c r="E19" s="67" t="str">
        <x:v>Bestanden</x:v>
      </x:c>
      <x:c r="F19" s="67" t="str">
        <x:v>Bestanden</x:v>
      </x:c>
      <x:c r="G19" s="67" t="str">
        <x:v>Bestanden</x:v>
      </x:c>
      <x:c r="H19" s="67" t="str">
        <x:v>Bestanden</x:v>
      </x:c>
      <x:c r="I19" s="68" t="str">
        <x:v>Offen</x:v>
      </x:c>
    </x:row>
    <x:row r="20">
      <x:c r="A20" s="66" t="str">
        <x:v>V0.032</x:v>
      </x:c>
      <x:c r="B20" s="67" t="str">
        <x:v>Bestanden</x:v>
      </x:c>
      <x:c r="C20" s="67" t="str">
        <x:v>Bestanden</x:v>
      </x:c>
      <x:c r="D20" s="67" t="str">
        <x:v>Bestanden</x:v>
      </x:c>
      <x:c r="E20" s="67" t="str">
        <x:v>Bestanden</x:v>
      </x:c>
      <x:c r="F20" s="67" t="str">
        <x:v>Bestanden</x:v>
      </x:c>
      <x:c r="G20" s="67" t="str">
        <x:v>Bestanden</x:v>
      </x:c>
      <x:c r="H20" s="67" t="str">
        <x:v>Bestanden</x:v>
      </x:c>
      <x:c r="I20" s="68" t="str">
        <x:v>Offen</x:v>
      </x:c>
    </x:row>
    <x:row r="21">
      <x:c r="A21" s="66" t="str">
        <x:v>V0.033</x:v>
      </x:c>
      <x:c r="B21" s="67" t="str">
        <x:v>Bestanden</x:v>
      </x:c>
      <x:c r="C21" s="67" t="str">
        <x:v>Bestanden</x:v>
      </x:c>
      <x:c r="D21" s="67" t="str">
        <x:v>Bestanden</x:v>
      </x:c>
      <x:c r="E21" s="67" t="str">
        <x:v>Bestanden</x:v>
      </x:c>
      <x:c r="F21" s="67" t="str">
        <x:v>Bestanden</x:v>
      </x:c>
      <x:c r="G21" s="67" t="str">
        <x:v>Bestanden</x:v>
      </x:c>
      <x:c r="H21" s="67" t="str">
        <x:v>Bestanden</x:v>
      </x:c>
      <x:c r="I21" s="68" t="str">
        <x:v>Offen</x:v>
      </x:c>
    </x:row>
    <x:row r="22">
      <x:c r="A22" s="66" t="str">
        <x:v>V0.034</x:v>
      </x:c>
      <x:c r="B22" s="67" t="str">
        <x:v>Bestanden</x:v>
      </x:c>
      <x:c r="C22" s="67" t="str">
        <x:v>Bestanden</x:v>
      </x:c>
      <x:c r="D22" s="67" t="str">
        <x:v>Bestanden</x:v>
      </x:c>
      <x:c r="E22" s="67" t="str">
        <x:v>Bestanden</x:v>
      </x:c>
      <x:c r="F22" s="67" t="str">
        <x:v>Bestanden</x:v>
      </x:c>
      <x:c r="G22" s="67" t="str">
        <x:v>Bestanden</x:v>
      </x:c>
      <x:c r="H22" s="67" t="str">
        <x:v>Bestanden</x:v>
      </x:c>
      <x:c r="I22" s="68" t="str">
        <x:v>Offen</x:v>
      </x:c>
    </x:row>
    <x:row r="23">
      <x:c r="A23" s="66" t="str">
        <x:v>V0.035</x:v>
      </x:c>
      <x:c r="B23" s="67" t="str">
        <x:v>Bestanden</x:v>
      </x:c>
      <x:c r="C23" s="67" t="str">
        <x:v>Bestanden</x:v>
      </x:c>
      <x:c r="D23" s="67" t="str">
        <x:v>Bestanden</x:v>
      </x:c>
      <x:c r="E23" s="67" t="str">
        <x:v>Bestanden</x:v>
      </x:c>
      <x:c r="F23" s="67" t="str">
        <x:v>Bestanden</x:v>
      </x:c>
      <x:c r="G23" s="67" t="str">
        <x:v>Bestanden</x:v>
      </x:c>
      <x:c r="H23" s="67" t="str">
        <x:v>Bestanden</x:v>
      </x:c>
      <x:c r="I23" s="68" t="str">
        <x:v>Offen</x:v>
      </x:c>
    </x:row>
    <x:row r="24">
      <x:c r="A24" s="66" t="str">
        <x:v>V0.036</x:v>
      </x:c>
      <x:c r="B24" s="67" t="str">
        <x:v>Bestanden</x:v>
      </x:c>
      <x:c r="C24" s="67" t="str">
        <x:v>Bestanden</x:v>
      </x:c>
      <x:c r="D24" s="67" t="str">
        <x:v>Bestanden</x:v>
      </x:c>
      <x:c r="E24" s="67" t="str">
        <x:v>Bestanden</x:v>
      </x:c>
      <x:c r="F24" s="67" t="str">
        <x:v>Bestanden</x:v>
      </x:c>
      <x:c r="G24" s="67" t="str">
        <x:v>Bestanden</x:v>
      </x:c>
      <x:c r="H24" s="67" t="str">
        <x:v>Bestanden</x:v>
      </x:c>
      <x:c r="I24" s="68" t="str">
        <x:v>Offen</x:v>
      </x:c>
    </x:row>
    <x:row r="25">
      <x:c r="A25" s="66" t="str">
        <x:v>V0.037</x:v>
      </x:c>
      <x:c r="B25" s="67" t="str">
        <x:v>Bestanden</x:v>
      </x:c>
      <x:c r="C25" s="67" t="str">
        <x:v>Bestanden</x:v>
      </x:c>
      <x:c r="D25" s="67" t="str">
        <x:v>Bestanden</x:v>
      </x:c>
      <x:c r="E25" s="67" t="str">
        <x:v>Bestanden</x:v>
      </x:c>
      <x:c r="F25" s="67" t="str">
        <x:v>Bestanden</x:v>
      </x:c>
      <x:c r="G25" s="67" t="str">
        <x:v>Bestanden</x:v>
      </x:c>
      <x:c r="H25" s="67" t="str">
        <x:v>Bestanden</x:v>
      </x:c>
      <x:c r="I25" s="68" t="str">
        <x:v>Offen</x:v>
      </x:c>
    </x:row>
    <x:row r="26">
      <x:c r="A26" s="66" t="str">
        <x:v>V0.038</x:v>
      </x:c>
      <x:c r="B26" s="67" t="str">
        <x:v>Bestanden</x:v>
      </x:c>
      <x:c r="C26" s="67" t="str">
        <x:v>Bestanden</x:v>
      </x:c>
      <x:c r="D26" s="67" t="str">
        <x:v>Bestanden</x:v>
      </x:c>
      <x:c r="E26" s="67" t="str">
        <x:v>Bestanden</x:v>
      </x:c>
      <x:c r="F26" s="67" t="str">
        <x:v>Bestanden</x:v>
      </x:c>
      <x:c r="G26" s="67" t="str">
        <x:v>Bestanden</x:v>
      </x:c>
      <x:c r="H26" s="67" t="str">
        <x:v>Bestanden</x:v>
      </x:c>
      <x:c r="I26" s="68" t="str">
        <x:v>Offen</x:v>
      </x:c>
    </x:row>
    <x:row r="27">
      <x:c r="A27" s="66" t="str">
        <x:v>V0.039</x:v>
      </x:c>
      <x:c r="B27" s="67" t="str">
        <x:v>Bestanden</x:v>
      </x:c>
      <x:c r="C27" s="67" t="str">
        <x:v>Bestanden</x:v>
      </x:c>
      <x:c r="D27" s="67" t="str">
        <x:v>Bestanden</x:v>
      </x:c>
      <x:c r="E27" s="67" t="str">
        <x:v>Bestanden</x:v>
      </x:c>
      <x:c r="F27" s="67" t="str">
        <x:v>Bestanden</x:v>
      </x:c>
      <x:c r="G27" s="67" t="str">
        <x:v>Bestanden</x:v>
      </x:c>
      <x:c r="H27" s="67" t="str">
        <x:v>Bestanden</x:v>
      </x:c>
      <x:c r="I27" s="68" t="str">
        <x:v>Offen</x:v>
      </x:c>
    </x:row>
    <x:row r="28">
      <x:c r="A28" s="66" t="str">
        <x:v>V0.040</x:v>
      </x:c>
      <x:c r="B28" s="67" t="str">
        <x:v>Bestanden</x:v>
      </x:c>
      <x:c r="C28" s="67" t="str">
        <x:v>Bestanden</x:v>
      </x:c>
      <x:c r="D28" s="67" t="str">
        <x:v>Bestanden</x:v>
      </x:c>
      <x:c r="E28" s="67" t="str">
        <x:v>Bestanden</x:v>
      </x:c>
      <x:c r="F28" s="67" t="str">
        <x:v>Bestanden</x:v>
      </x:c>
      <x:c r="G28" s="67" t="str">
        <x:v>Bestanden</x:v>
      </x:c>
      <x:c r="H28" s="67" t="str">
        <x:v>Bestanden</x:v>
      </x:c>
      <x:c r="I28" s="68" t="str">
        <x:v>Offen</x:v>
      </x:c>
    </x:row>
    <x:row r="29">
      <x:c r="A29" s="66" t="str">
        <x:v>V0.041</x:v>
      </x:c>
      <x:c r="B29" s="67" t="str">
        <x:v>Bestanden</x:v>
      </x:c>
      <x:c r="C29" s="67" t="str">
        <x:v>Bestanden</x:v>
      </x:c>
      <x:c r="D29" s="67" t="str">
        <x:v>Bestanden</x:v>
      </x:c>
      <x:c r="E29" s="67" t="str">
        <x:v>Bestanden</x:v>
      </x:c>
      <x:c r="F29" s="67" t="str">
        <x:v>Bestanden</x:v>
      </x:c>
      <x:c r="G29" s="67" t="str">
        <x:v>Bestanden</x:v>
      </x:c>
      <x:c r="H29" s="67" t="str">
        <x:v>Bestanden</x:v>
      </x:c>
      <x:c r="I29" s="68" t="str">
        <x:v>Offen</x:v>
      </x:c>
    </x:row>
    <x:row r="30">
      <x:c r="A30" s="69" t="str">
        <x:v>V0.042</x:v>
      </x:c>
      <x:c r="B30" s="70" t="str">
        <x:v>Bestanden</x:v>
      </x:c>
      <x:c r="C30" s="70" t="str">
        <x:v>Bestanden</x:v>
      </x:c>
      <x:c r="D30" s="70" t="str">
        <x:v>Bestanden</x:v>
      </x:c>
      <x:c r="E30" s="70" t="str">
        <x:v>Bestanden</x:v>
      </x:c>
      <x:c r="F30" s="70" t="str">
        <x:v>Bestanden</x:v>
      </x:c>
      <x:c r="G30" s="70" t="str">
        <x:v>Bestanden</x:v>
      </x:c>
      <x:c r="H30" s="70" t="str">
        <x:v>Bestanden</x:v>
      </x:c>
      <x:c r="I30" s="71" t="str">
        <x:v>Offen</x:v>
      </x:c>
    </x:row>
  </x:sheetData>
  <x:mergeCells>
    <x:mergeCell ref="A1:I2"/>
  </x:mergeCells>
  <x:conditionalFormatting sqref="B5:I30">
    <x:cfRule type="containsText" dxfId="3" priority="1" operator="containsText" text="Bestanden"/>
    <x:cfRule type="containsText" dxfId="4" priority="2" operator="containsText" text="Geplant"/>
    <x:cfRule type="containsText" dxfId="5" priority="3" operator="containsText" text="Teilweise"/>
    <x:cfRule type="containsText" dxfId="6" priority="4" operator="containsText" text="Offen"/>
    <x:cfRule type="containsText" dxfId="7" priority="5" operator="containsText" text="Nicht geprüf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45" hidden="0" customWidth="1"/>
    <x:col min="4" max="4" width="45" hidden="0" customWidth="1"/>
    <x:col min="5" max="5" width="17" hidden="0" customWidth="1"/>
    <x:col min="6" max="6" width="30" hidden="0" customWidth="1"/>
  </x:cols>
  <x:sheetData>
    <x:row r="1">
      <x:c r="A1" s="46" t="str">
        <x:v>Gebündelte Sichtabnahme · vorbereitet für V0.042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>
      <x:c r="A4" s="53" t="str">
        <x:v>Nr.</x:v>
      </x:c>
      <x:c r="B4" s="53" t="str">
        <x:v>Prüfbereich</x:v>
      </x:c>
      <x:c r="C4" s="53" t="str">
        <x:v>Szenario</x:v>
      </x:c>
      <x:c r="D4" s="53" t="str">
        <x:v>Soll-Ergebnis</x:v>
      </x:c>
      <x:c r="E4" s="53" t="str">
        <x:v>Status</x:v>
      </x:c>
      <x:c r="F4" s="53" t="str">
        <x:v>Notiz</x:v>
      </x:c>
    </x:row>
    <x:row r="5">
      <x:c r="A5" s="56" t="n">
        <x:v>1</x:v>
      </x:c>
      <x:c r="B5" s="56" t="str">
        <x:v>Start und Gesamtstil</x:v>
      </x:c>
      <x:c r="C5" s="56" t="str">
        <x:v>Startansicht und Navigation überblicken</x:v>
      </x:c>
      <x:c r="D5" s="56" t="str">
        <x:v>Wortmarke ZEIG HER Slides, Fläche, Punktpfad, Farben und reduzierte Demo wirken unverändert stimmig</x:v>
      </x:c>
      <x:c r="E5" s="56" t="str">
        <x:v>Offen</x:v>
      </x:c>
      <x:c r="F5" s="56" t="str"/>
    </x:row>
    <x:row r="6">
      <x:c r="A6" s="56" t="n">
        <x:v>2</x:v>
      </x:c>
      <x:c r="B6" s="56" t="str">
        <x:v>Kapiteltypografie</x:v>
      </x:c>
      <x:c r="C6" s="56" t="str">
        <x:v>Kapitelübergänge mit ä, ö und ü ansehen</x:v>
      </x:c>
      <x:c r="D6" s="56" t="str">
        <x:v>Konturziffer, Outfit-Titel und feine Unterzeile entsprechen den Referenzen</x:v>
      </x:c>
      <x:c r="E6" s="56" t="str">
        <x:v>Offen</x:v>
      </x:c>
      <x:c r="F6" s="56" t="str"/>
    </x:row>
    <x:row r="7">
      <x:c r="A7" s="56" t="n">
        <x:v>3</x:v>
      </x:c>
      <x:c r="B7" s="56" t="str">
        <x:v>Werkzeugleiste</x:v>
      </x:c>
      <x:c r="C7" s="56" t="str">
        <x:v>Bearbeitungsmodus öffnen, Farben-Dialog und Leiste prüfen</x:v>
      </x:c>
      <x:c r="D7" s="56" t="str">
        <x:v>Projekte, Farben und Dateidownload sind logisch geordnet; Link steht ohne Emoji; Symbole bleiben monochrom und eindeutig</x:v>
      </x:c>
      <x:c r="E7" s="56" t="str">
        <x:v>Offen</x:v>
      </x:c>
      <x:c r="F7" s="56" t="str"/>
    </x:row>
    <x:row r="8">
      <x:c r="A8" s="56" t="n">
        <x:v>4</x:v>
      </x:c>
      <x:c r="B8" s="56" t="str">
        <x:v>Baustein- und Ebenenmenü</x:v>
      </x:c>
      <x:c r="C8" s="56" t="str">
        <x:v>Menüs an verschiedenen Stationen öffnen; Ebeneneinträge überfahren und fokussieren</x:v>
      </x:c>
      <x:c r="D8" s="56" t="str">
        <x:v>Menüs bleiben im Vordergrund; Ebenenvorschau zeigt exakt den zugehörigen Baustein und verschwindet rückstandsfrei</x:v>
      </x:c>
      <x:c r="E8" s="56" t="str">
        <x:v>Offen</x:v>
      </x:c>
      <x:c r="F8" s="56" t="str"/>
    </x:row>
    <x:row r="9">
      <x:c r="A9" s="56" t="n">
        <x:v>5</x:v>
      </x:c>
      <x:c r="B9" s="56" t="str">
        <x:v>Projektmodell</x:v>
      </x:c>
      <x:c r="C9" s="56" t="str">
        <x:v>Projektfenster öffnen, technische Details ein-/ausklappen, Demo prüfen, ein Projekt benannt anlegen und ein Testprojekt löschen</x:v>
      </x:c>
      <x:c r="D9" s="56" t="str">
        <x:v>Demo bleibt fest; Details starten eingeklappt; Speicherhinweis und Backupweg sind klar; neues Projekt startet benannt; Löschen verlangt eine zweite Bestätigung</x:v>
      </x:c>
      <x:c r="E9" s="56" t="str">
        <x:v>Offen</x:v>
      </x:c>
      <x:c r="F9" s="56" t="str"/>
    </x:row>
    <x:row r="10">
      <x:c r="A10" s="56" t="n">
        <x:v>6</x:v>
      </x:c>
      <x:c r="B10" s="56" t="str">
        <x:v>Projektwechsel</x:v>
      </x:c>
      <x:c r="C10" s="56" t="str">
        <x:v>Projektdatei speichern, an anderem Ort öffnen, bearbeiten und erneut speichern</x:v>
      </x:c>
      <x:c r="D10" s="56" t="str">
        <x:v>Projekt-ID und alle Inhalte bleiben stabil; nichts hängt am Browser-Entwurf</x:v>
      </x:c>
      <x:c r="E10" s="56" t="str">
        <x:v>Offen</x:v>
      </x:c>
      <x:c r="F10" s="56" t="str"/>
    </x:row>
    <x:row r="11">
      <x:c r="A11" s="56" t="n">
        <x:v>7</x:v>
      </x:c>
      <x:c r="B11" s="56" t="str">
        <x:v>Bildprojekt</x:v>
      </x:c>
      <x:c r="C11" s="56" t="str">
        <x:v>Gerettetes V4-Projekt öffnen, Station 27 prüfen und Bearbeiten dreimal ein-/ausschalten</x:v>
      </x:c>
      <x:c r="D11" s="56" t="str">
        <x:v>Alle 79 Bilder bleiben erreichbar; transparente PNGs behalten Transparenz; Notizen bleiben außerhalb des Rahmens</x:v>
      </x:c>
      <x:c r="E11" s="56" t="str">
        <x:v>Offen</x:v>
      </x:c>
      <x:c r="F11" s="56" t="str"/>
    </x:row>
    <x:row r="12">
      <x:c r="A12" s="56" t="n">
        <x:v>8</x:v>
      </x:c>
      <x:c r="B12" s="56" t="str">
        <x:v>Ansichts-Datei</x:v>
      </x:c>
      <x:c r="C12" s="56" t="str">
        <x:v>Materiallizenz erfassen, auf einer späten Station exportieren, Datei neu öffnen, Übersicht öffnen und eine Station anklicken</x:v>
      </x:c>
      <x:c r="D12" s="56" t="str">
        <x:v>Station 1 startet sichtbar; Materiallizenz und Über diese Anwendung bleiben getrennt erreichbar; Kapitelüberschriften erscheinen in der Übersicht und ein Klick fokussiert die gewählte Station</x:v>
      </x:c>
      <x:c r="E12" s="56" t="str">
        <x:v>Offen</x:v>
      </x:c>
      <x:c r="F12" s="56" t="str"/>
    </x:row>
    <x:row r="13">
      <x:c r="A13" s="56" t="n">
        <x:v>9</x:v>
      </x:c>
      <x:c r="B13" s="56" t="str">
        <x:v>Handout</x:v>
      </x:c>
      <x:c r="C13" s="56" t="str">
        <x:v>PDF-Handout erstellen und zusätzlich das HTML-Handout öffnen</x:v>
      </x:c>
      <x:c r="D13" s="56" t="str">
        <x:v>Slides werden als kompakte Textblöcke mit kleinen Bildern ausgegeben; das PDF ist ein echter Mail-Anhang und enthält keine Editierwerkzeuge</x:v>
      </x:c>
      <x:c r="E13" s="56" t="str">
        <x:v>Offen</x:v>
      </x:c>
      <x:c r="F13" s="56" t="str"/>
    </x:row>
    <x:row r="14">
      <x:c r="A14" s="56" t="n">
        <x:v>10</x:v>
      </x:c>
      <x:c r="B14" s="56" t="str">
        <x:v>Migration und Netzwerk-Null</x:v>
      </x:c>
      <x:c r="C14" s="56" t="str">
        <x:v>Altprojekt und beide bisherigen Browserdatenbanken prüfen; externe URL oder Embed versuchen</x:v>
      </x:c>
      <x:c r="D14" s="56" t="str">
        <x:v>Altstände bleiben lesbar und erhalten; Übernahme ist verifiziert; externe Verbindungen bleiben gesperrt oder verlangen eine bewusste Bestätigung</x:v>
      </x:c>
      <x:c r="E14" s="56" t="str">
        <x:v>Offen</x:v>
      </x:c>
      <x:c r="F14" s="56" t="str"/>
    </x:row>
    <x:row r="15">
      <x:c r="A15" s="56" t="n">
        <x:v>11</x:v>
      </x:c>
      <x:c r="B15" s="56" t="str">
        <x:v>Werkstatt</x:v>
      </x:c>
      <x:c r="C15" s="56" t="str">
        <x:v>18 Tokens, 14 Bausteine und alle registrierten Oberflächen überblicken</x:v>
      </x:c>
      <x:c r="D15" s="56" t="str">
        <x:v>Bestand, Kasten-Dialog, Dateikarten, Farbendialog, Kamera, Notizen und Ebenen sind verständlich katalogisiert</x:v>
      </x:c>
      <x:c r="E15" s="56" t="str">
        <x:v>Offen</x:v>
      </x:c>
      <x:c r="F15" s="56" t="str"/>
    </x:row>
    <x:row r="16">
      <x:c r="A16" s="73" t="n">
        <x:v>12</x:v>
      </x:c>
      <x:c r="B16" s="73" t="str">
        <x:v>Gesamteindruck</x:v>
      </x:c>
      <x:c r="C16" s="73" t="str">
        <x:v>Typische Präsentation vollständig bearbeiten und zeigen</x:v>
      </x:c>
      <x:c r="D16" s="73" t="str">
        <x:v>Hoher Alltagsnutzen ohne unnötige Komplexität</x:v>
      </x:c>
      <x:c r="E16" s="73" t="str">
        <x:v>Offen</x:v>
      </x:c>
      <x:c r="F16" s="73" t="str"/>
    </x:row>
  </x:sheetData>
  <x:mergeCells>
    <x:mergeCell ref="A1:F2"/>
  </x:mergeCells>
  <x:conditionalFormatting sqref="E5:E16">
    <x:cfRule type="containsText" dxfId="8" priority="1" operator="containsText" text="Bestanden"/>
    <x:cfRule type="containsText" dxfId="9" priority="2" operator="containsText" text="Abweichung"/>
  </x:conditionalFormatting>
  <x:dataValidations count="1">
    <x:dataValidation type="list" sqref="E5:E16">
      <x:formula1>"Offen,Bestanden,Abweichung,Nicht anwendbar"</x:formula1>
    </x:dataValidation>
  </x:dataValidations>
  <x:pageMargins left="0.7" right="0.7" top="0.75" bottom="0.75" header="0.3" footer="0.3"/>
</x:worksheet>
</file>